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0\Documents\"/>
    </mc:Choice>
  </mc:AlternateContent>
  <xr:revisionPtr revIDLastSave="0" documentId="8_{1021DA96-C803-4D8C-8AB4-5F4085A2016B}" xr6:coauthVersionLast="47" xr6:coauthVersionMax="47" xr10:uidLastSave="{00000000-0000-0000-0000-000000000000}"/>
  <bookViews>
    <workbookView xWindow="-120" yWindow="-120" windowWidth="20730" windowHeight="11040" activeTab="1" xr2:uid="{D2E41916-3E87-45E1-8C5C-33952F0020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2" l="1" a="1"/>
  <c r="AA4" i="2" a="1"/>
  <c r="AA5" i="2" a="1"/>
  <c r="AA6" i="2" a="1"/>
  <c r="AA7" i="2" a="1"/>
  <c r="AA8" i="2" a="1"/>
  <c r="AA9" i="2" a="1"/>
  <c r="AA10" i="2" a="1"/>
  <c r="AA11" i="2" a="1"/>
  <c r="AA12" i="2" a="1"/>
  <c r="AA13" i="2" a="1"/>
  <c r="AA14" i="2" a="1"/>
  <c r="AA15" i="2" a="1"/>
  <c r="AA16" i="2" a="1"/>
  <c r="AA17" i="2" a="1"/>
  <c r="AA18" i="2" a="1"/>
  <c r="AA19" i="2" a="1"/>
  <c r="AA20" i="2" a="1"/>
  <c r="AA21" i="2" a="1"/>
  <c r="AA2" i="2" a="1"/>
  <c r="Z3" i="2" a="1"/>
  <c r="Z4" i="2" a="1"/>
  <c r="Z5" i="2" a="1"/>
  <c r="Z6" i="2" a="1"/>
  <c r="Z7" i="2" a="1"/>
  <c r="Z8" i="2" a="1"/>
  <c r="Z9" i="2" a="1"/>
  <c r="Z10" i="2" a="1"/>
  <c r="Z11" i="2" a="1"/>
  <c r="Z12" i="2" a="1"/>
  <c r="Z13" i="2" a="1"/>
  <c r="Z14" i="2" a="1"/>
  <c r="Z15" i="2" a="1"/>
  <c r="Z16" i="2" a="1"/>
  <c r="Z17" i="2" a="1"/>
  <c r="Z18" i="2" a="1"/>
  <c r="Z19" i="2" a="1"/>
  <c r="Z20" i="2" a="1"/>
  <c r="Z21" i="2" a="1"/>
  <c r="Z2" i="2" a="1"/>
  <c r="Y3" i="2" a="1"/>
  <c r="Y4" i="2" a="1"/>
  <c r="Y5" i="2" a="1"/>
  <c r="Y6" i="2" a="1"/>
  <c r="Y7" i="2" a="1"/>
  <c r="Y8" i="2" a="1"/>
  <c r="Y9" i="2" a="1"/>
  <c r="Y10" i="2" a="1"/>
  <c r="Y11" i="2" a="1"/>
  <c r="Y12" i="2" a="1"/>
  <c r="Y13" i="2" a="1"/>
  <c r="Y14" i="2" a="1"/>
  <c r="Y15" i="2" a="1"/>
  <c r="Y16" i="2" a="1"/>
  <c r="Y17" i="2" a="1"/>
  <c r="Y18" i="2" a="1"/>
  <c r="Y19" i="2" a="1"/>
  <c r="Y20" i="2" a="1"/>
  <c r="Y21" i="2" a="1"/>
  <c r="Y2" i="2" a="1"/>
  <c r="W11" i="2" a="1"/>
  <c r="W12" i="2" a="1"/>
  <c r="W13" i="2" a="1"/>
  <c r="W14" i="2" a="1"/>
  <c r="W15" i="2" a="1"/>
  <c r="W16" i="2" a="1"/>
  <c r="W17" i="2" a="1"/>
  <c r="W20" i="2" a="1"/>
  <c r="W21" i="2" a="1"/>
  <c r="U3" i="2"/>
  <c r="U4" i="2"/>
  <c r="W2" i="2" s="1" a="1"/>
  <c r="U5" i="2"/>
  <c r="W3" i="2" s="1" a="1"/>
  <c r="U6" i="2"/>
  <c r="W4" i="2" s="1" a="1"/>
  <c r="U7" i="2"/>
  <c r="W5" i="2" s="1" a="1"/>
  <c r="U8" i="2"/>
  <c r="W6" i="2" s="1" a="1"/>
  <c r="U9" i="2"/>
  <c r="W7" i="2" s="1" a="1"/>
  <c r="U10" i="2"/>
  <c r="W8" i="2" s="1" a="1"/>
  <c r="U11" i="2"/>
  <c r="W9" i="2" s="1" a="1"/>
  <c r="U12" i="2"/>
  <c r="W10" i="2" s="1" a="1"/>
  <c r="U13" i="2"/>
  <c r="U14" i="2"/>
  <c r="U15" i="2"/>
  <c r="U16" i="2"/>
  <c r="U17" i="2"/>
  <c r="U18" i="2"/>
  <c r="U19" i="2"/>
  <c r="U20" i="2"/>
  <c r="W18" i="2" s="1" a="1"/>
  <c r="U21" i="2"/>
  <c r="W19" i="2" s="1" a="1"/>
  <c r="U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<sst xmlns="http://schemas.openxmlformats.org/spreadsheetml/2006/main" count="344" uniqueCount="84">
  <si>
    <t>Order_ID</t>
  </si>
  <si>
    <t>Order_Date</t>
  </si>
  <si>
    <t>Customer_ID</t>
  </si>
  <si>
    <t>City</t>
  </si>
  <si>
    <t>Region</t>
  </si>
  <si>
    <t>Product</t>
  </si>
  <si>
    <t>Category</t>
  </si>
  <si>
    <t>Quantity</t>
  </si>
  <si>
    <t>Unit_Price</t>
  </si>
  <si>
    <t>Discount</t>
  </si>
  <si>
    <t>Order_Status</t>
  </si>
  <si>
    <t>Returned</t>
  </si>
  <si>
    <t>ORD-0001</t>
  </si>
  <si>
    <t>CUST-0001</t>
  </si>
  <si>
    <t>Delhi</t>
  </si>
  <si>
    <t>North</t>
  </si>
  <si>
    <t>Headphones</t>
  </si>
  <si>
    <t>Electronics</t>
  </si>
  <si>
    <t>Delivered</t>
  </si>
  <si>
    <t>No</t>
  </si>
  <si>
    <t>ORD-0002</t>
  </si>
  <si>
    <t>CUST-0002</t>
  </si>
  <si>
    <t>Ahmedabad</t>
  </si>
  <si>
    <t>West</t>
  </si>
  <si>
    <t>Webcam</t>
  </si>
  <si>
    <t>Processing</t>
  </si>
  <si>
    <t>ORD-0003</t>
  </si>
  <si>
    <t>CUST-0003</t>
  </si>
  <si>
    <t>Bhubaneswar</t>
  </si>
  <si>
    <t>East</t>
  </si>
  <si>
    <t>Backpack</t>
  </si>
  <si>
    <t>Lifestyle</t>
  </si>
  <si>
    <t>Yes</t>
  </si>
  <si>
    <t>ORD-0004</t>
  </si>
  <si>
    <t>CUST-0004</t>
  </si>
  <si>
    <t>USB Hub</t>
  </si>
  <si>
    <t>Accessories</t>
  </si>
  <si>
    <t>ORD-0005</t>
  </si>
  <si>
    <t>CUST-0005</t>
  </si>
  <si>
    <t>Surat</t>
  </si>
  <si>
    <t>Shipped</t>
  </si>
  <si>
    <t>ORD-0006</t>
  </si>
  <si>
    <t>CUST-0006</t>
  </si>
  <si>
    <t>Pune</t>
  </si>
  <si>
    <t>Mouse</t>
  </si>
  <si>
    <t>ORD-0007</t>
  </si>
  <si>
    <t>CUST-0007</t>
  </si>
  <si>
    <t>Chennai</t>
  </si>
  <si>
    <t>South</t>
  </si>
  <si>
    <t>Desk Lamp</t>
  </si>
  <si>
    <t>Furniture</t>
  </si>
  <si>
    <t>ORD-0008</t>
  </si>
  <si>
    <t>CUST-0008</t>
  </si>
  <si>
    <t>ORD-0009</t>
  </si>
  <si>
    <t>CUST-0009</t>
  </si>
  <si>
    <t>Kolkata</t>
  </si>
  <si>
    <t>Laptop</t>
  </si>
  <si>
    <t>ORD-0010</t>
  </si>
  <si>
    <t>CUST-0010</t>
  </si>
  <si>
    <t>Mumbai</t>
  </si>
  <si>
    <t>ORD-0011</t>
  </si>
  <si>
    <t>CUST-0011</t>
  </si>
  <si>
    <t>Jaipur</t>
  </si>
  <si>
    <t>ORD-0012</t>
  </si>
  <si>
    <t>CUST-0012</t>
  </si>
  <si>
    <t>ORD-0013</t>
  </si>
  <si>
    <t>CUST-0013</t>
  </si>
  <si>
    <t>ORD-0014</t>
  </si>
  <si>
    <t>CUST-0014</t>
  </si>
  <si>
    <t>ORD-0015</t>
  </si>
  <si>
    <t>CUST-0015</t>
  </si>
  <si>
    <t>ORD-0016</t>
  </si>
  <si>
    <t>CUST-0016</t>
  </si>
  <si>
    <t>Hyderabad</t>
  </si>
  <si>
    <t>Cancelled</t>
  </si>
  <si>
    <t>ORD-0017</t>
  </si>
  <si>
    <t>CUST-0017</t>
  </si>
  <si>
    <t>Monitor</t>
  </si>
  <si>
    <t>ORD-0018</t>
  </si>
  <si>
    <t>CUST-0018</t>
  </si>
  <si>
    <t>ORD-0019</t>
  </si>
  <si>
    <t>CUST-0019</t>
  </si>
  <si>
    <t>ORD-0020</t>
  </si>
  <si>
    <t>CUST-0020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</si>
</sst>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15" fontId="2" fillId="2" borderId="1" xfId="0" applyNumberFormat="1" applyFont="1" applyFill="1" applyBorder="1" applyAlignment="1">
      <alignment horizontal="left" vertical="center" wrapText="1" indent="1"/>
    </xf>
    <xf numFmtId="6" fontId="2" fillId="2" borderId="1" xfId="0" applyNumberFormat="1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5" fontId="2" fillId="3" borderId="1" xfId="0" applyNumberFormat="1" applyFont="1" applyFill="1" applyBorder="1" applyAlignment="1">
      <alignment horizontal="left" vertical="center" wrapText="1" indent="1"/>
    </xf>
    <xf numFmtId="6" fontId="2" fillId="3" borderId="1" xfId="0" applyNumberFormat="1" applyFont="1" applyFill="1" applyBorder="1" applyAlignment="1">
      <alignment horizontal="left" vertical="center" wrapText="1" indent="1"/>
    </xf>
    <xf numFmtId="9" fontId="2" fillId="3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2E0D62-A698-4282-8A92-4218A5BC5B47}" name="Table1" displayName="Table1" ref="A1:L21" totalsRowShown="0">
  <autoFilter ref="A1:L21" xr:uid="{9C2E0D62-A698-4282-8A92-4218A5BC5B47}"/>
  <tableColumns count="12">
    <tableColumn id="1" xr3:uid="{270213B7-2552-4A1A-AE45-56677FEA75A8}" name="Order_ID"/>
    <tableColumn id="2" xr3:uid="{E6B33073-914C-4A80-A71A-AEBFAA74272D}" name="Order_Date"/>
    <tableColumn id="3" xr3:uid="{15146916-0EFC-4B07-92DC-E3D3FF1E1CDD}" name="Customer_ID"/>
    <tableColumn id="4" xr3:uid="{2C06AF54-46E4-4105-9CE2-D9B0B7518FF4}" name="City"/>
    <tableColumn id="5" xr3:uid="{E241F9F2-56DB-43ED-AECF-8871E924484C}" name="Region"/>
    <tableColumn id="6" xr3:uid="{03B5EF4A-41B7-4993-9539-7C143FAF6EA5}" name="Product"/>
    <tableColumn id="7" xr3:uid="{61A89DE8-555C-4359-AFDC-BD7291089BE8}" name="Category"/>
    <tableColumn id="8" xr3:uid="{824051A4-A71F-4671-8EC0-633DD1494288}" name="Quantity"/>
    <tableColumn id="9" xr3:uid="{8563D7F8-452F-4000-8992-B9CE969202C0}" name="Unit_Price"/>
    <tableColumn id="10" xr3:uid="{87D99160-8869-421A-9774-A5958B900F69}" name="Discount"/>
    <tableColumn id="11" xr3:uid="{C1471985-969E-41DC-80EC-42EC5E7CECB5}" name="Order_Status"/>
    <tableColumn id="12" xr3:uid="{4690CF74-D610-46E5-ADE5-F684B499AB35}" name="Retu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6B55-EE9A-4191-A2EF-282AD8144E9F}">
  <dimension ref="A1:L21"/>
  <sheetViews>
    <sheetView zoomScale="47" workbookViewId="0">
      <selection activeCell="C2" sqref="A1:L21"/>
    </sheetView>
  </sheetViews>
  <sheetFormatPr defaultRowHeight="15" x14ac:dyDescent="0.25"/>
  <sheetData>
    <row r="1" spans="1:12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5.25" thickBot="1" x14ac:dyDescent="0.3">
      <c r="A2" s="2" t="s">
        <v>12</v>
      </c>
      <c r="B2" s="3">
        <v>46249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5</v>
      </c>
      <c r="I2" s="4">
        <v>3500</v>
      </c>
      <c r="J2" s="5">
        <v>0</v>
      </c>
      <c r="K2" s="2" t="s">
        <v>18</v>
      </c>
      <c r="L2" s="2" t="s">
        <v>19</v>
      </c>
    </row>
    <row r="3" spans="1:12" ht="35.25" thickBot="1" x14ac:dyDescent="0.3">
      <c r="A3" s="6" t="s">
        <v>20</v>
      </c>
      <c r="B3" s="7">
        <v>46023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17</v>
      </c>
      <c r="H3" s="6">
        <v>3</v>
      </c>
      <c r="I3" s="8">
        <v>4500</v>
      </c>
      <c r="J3" s="9">
        <v>0.1</v>
      </c>
      <c r="K3" s="6" t="s">
        <v>25</v>
      </c>
      <c r="L3" s="6" t="s">
        <v>19</v>
      </c>
    </row>
    <row r="4" spans="1:12" ht="52.5" thickBot="1" x14ac:dyDescent="0.3">
      <c r="A4" s="2" t="s">
        <v>26</v>
      </c>
      <c r="B4" s="3">
        <v>46067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>
        <v>2</v>
      </c>
      <c r="I4" s="4">
        <v>1800</v>
      </c>
      <c r="J4" s="5">
        <v>0</v>
      </c>
      <c r="K4" s="2" t="s">
        <v>11</v>
      </c>
      <c r="L4" s="2" t="s">
        <v>32</v>
      </c>
    </row>
    <row r="5" spans="1:12" ht="35.25" thickBot="1" x14ac:dyDescent="0.3">
      <c r="A5" s="6" t="s">
        <v>33</v>
      </c>
      <c r="B5" s="7">
        <v>46095</v>
      </c>
      <c r="C5" s="6" t="s">
        <v>34</v>
      </c>
      <c r="D5" s="6" t="s">
        <v>22</v>
      </c>
      <c r="E5" s="6" t="s">
        <v>23</v>
      </c>
      <c r="F5" s="6" t="s">
        <v>35</v>
      </c>
      <c r="G5" s="6" t="s">
        <v>36</v>
      </c>
      <c r="H5" s="6">
        <v>1</v>
      </c>
      <c r="I5" s="8">
        <v>1200</v>
      </c>
      <c r="J5" s="9">
        <v>0.15</v>
      </c>
      <c r="K5" s="6" t="s">
        <v>18</v>
      </c>
      <c r="L5" s="6" t="s">
        <v>19</v>
      </c>
    </row>
    <row r="6" spans="1:12" ht="35.25" thickBot="1" x14ac:dyDescent="0.3">
      <c r="A6" s="2" t="s">
        <v>37</v>
      </c>
      <c r="B6" s="3">
        <v>46076</v>
      </c>
      <c r="C6" s="2" t="s">
        <v>38</v>
      </c>
      <c r="D6" s="2" t="s">
        <v>39</v>
      </c>
      <c r="E6" s="2" t="s">
        <v>23</v>
      </c>
      <c r="F6" s="2" t="s">
        <v>24</v>
      </c>
      <c r="G6" s="2" t="s">
        <v>17</v>
      </c>
      <c r="H6" s="2">
        <v>2</v>
      </c>
      <c r="I6" s="4">
        <v>4500</v>
      </c>
      <c r="J6" s="5">
        <v>0</v>
      </c>
      <c r="K6" s="2" t="s">
        <v>40</v>
      </c>
      <c r="L6" s="2" t="s">
        <v>19</v>
      </c>
    </row>
    <row r="7" spans="1:12" ht="35.25" thickBot="1" x14ac:dyDescent="0.3">
      <c r="A7" s="6" t="s">
        <v>41</v>
      </c>
      <c r="B7" s="7">
        <v>46227</v>
      </c>
      <c r="C7" s="6" t="s">
        <v>42</v>
      </c>
      <c r="D7" s="6" t="s">
        <v>43</v>
      </c>
      <c r="E7" s="6" t="s">
        <v>23</v>
      </c>
      <c r="F7" s="6" t="s">
        <v>44</v>
      </c>
      <c r="G7" s="6" t="s">
        <v>36</v>
      </c>
      <c r="H7" s="6">
        <v>4</v>
      </c>
      <c r="I7" s="8">
        <v>800</v>
      </c>
      <c r="J7" s="9">
        <v>0.1</v>
      </c>
      <c r="K7" s="6" t="s">
        <v>25</v>
      </c>
      <c r="L7" s="6" t="s">
        <v>19</v>
      </c>
    </row>
    <row r="8" spans="1:12" ht="35.25" thickBot="1" x14ac:dyDescent="0.3">
      <c r="A8" s="2" t="s">
        <v>45</v>
      </c>
      <c r="B8" s="3">
        <v>46184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>
        <v>2</v>
      </c>
      <c r="I8" s="4">
        <v>2200</v>
      </c>
      <c r="J8" s="5">
        <v>0</v>
      </c>
      <c r="K8" s="2" t="s">
        <v>11</v>
      </c>
      <c r="L8" s="2" t="s">
        <v>32</v>
      </c>
    </row>
    <row r="9" spans="1:12" ht="35.25" thickBot="1" x14ac:dyDescent="0.3">
      <c r="A9" s="6" t="s">
        <v>51</v>
      </c>
      <c r="B9" s="7">
        <v>46243</v>
      </c>
      <c r="C9" s="6" t="s">
        <v>52</v>
      </c>
      <c r="D9" s="6" t="s">
        <v>47</v>
      </c>
      <c r="E9" s="6" t="s">
        <v>48</v>
      </c>
      <c r="F9" s="6" t="s">
        <v>35</v>
      </c>
      <c r="G9" s="6" t="s">
        <v>36</v>
      </c>
      <c r="H9" s="6">
        <v>2</v>
      </c>
      <c r="I9" s="8">
        <v>1200</v>
      </c>
      <c r="J9" s="9">
        <v>0.2</v>
      </c>
      <c r="K9" s="6" t="s">
        <v>18</v>
      </c>
      <c r="L9" s="6" t="s">
        <v>19</v>
      </c>
    </row>
    <row r="10" spans="1:12" ht="35.25" thickBot="1" x14ac:dyDescent="0.3">
      <c r="A10" s="2" t="s">
        <v>53</v>
      </c>
      <c r="B10" s="3">
        <v>46202</v>
      </c>
      <c r="C10" s="2" t="s">
        <v>54</v>
      </c>
      <c r="D10" s="2" t="s">
        <v>55</v>
      </c>
      <c r="E10" s="2" t="s">
        <v>29</v>
      </c>
      <c r="F10" s="2" t="s">
        <v>56</v>
      </c>
      <c r="G10" s="2" t="s">
        <v>17</v>
      </c>
      <c r="H10" s="2">
        <v>1</v>
      </c>
      <c r="I10" s="4">
        <v>55000</v>
      </c>
      <c r="J10" s="5">
        <v>0.05</v>
      </c>
      <c r="K10" s="2" t="s">
        <v>25</v>
      </c>
      <c r="L10" s="2" t="s">
        <v>19</v>
      </c>
    </row>
    <row r="11" spans="1:12" ht="35.25" thickBot="1" x14ac:dyDescent="0.3">
      <c r="A11" s="6" t="s">
        <v>57</v>
      </c>
      <c r="B11" s="7">
        <v>46042</v>
      </c>
      <c r="C11" s="6" t="s">
        <v>58</v>
      </c>
      <c r="D11" s="6" t="s">
        <v>59</v>
      </c>
      <c r="E11" s="6" t="s">
        <v>23</v>
      </c>
      <c r="F11" s="6" t="s">
        <v>49</v>
      </c>
      <c r="G11" s="6" t="s">
        <v>50</v>
      </c>
      <c r="H11" s="6">
        <v>1</v>
      </c>
      <c r="I11" s="8">
        <v>2200</v>
      </c>
      <c r="J11" s="9">
        <v>0.2</v>
      </c>
      <c r="K11" s="6" t="s">
        <v>18</v>
      </c>
      <c r="L11" s="6" t="s">
        <v>19</v>
      </c>
    </row>
    <row r="12" spans="1:12" ht="35.25" thickBot="1" x14ac:dyDescent="0.3">
      <c r="A12" s="2" t="s">
        <v>60</v>
      </c>
      <c r="B12" s="3">
        <v>46197</v>
      </c>
      <c r="C12" s="2" t="s">
        <v>61</v>
      </c>
      <c r="D12" s="2" t="s">
        <v>62</v>
      </c>
      <c r="E12" s="2" t="s">
        <v>15</v>
      </c>
      <c r="F12" s="2" t="s">
        <v>30</v>
      </c>
      <c r="G12" s="2" t="s">
        <v>31</v>
      </c>
      <c r="H12" s="2">
        <v>1</v>
      </c>
      <c r="I12" s="4">
        <v>1800</v>
      </c>
      <c r="J12" s="5">
        <v>0.2</v>
      </c>
      <c r="K12" s="2" t="s">
        <v>25</v>
      </c>
      <c r="L12" s="2" t="s">
        <v>19</v>
      </c>
    </row>
    <row r="13" spans="1:12" ht="35.25" thickBot="1" x14ac:dyDescent="0.3">
      <c r="A13" s="6" t="s">
        <v>63</v>
      </c>
      <c r="B13" s="7">
        <v>46143</v>
      </c>
      <c r="C13" s="6" t="s">
        <v>64</v>
      </c>
      <c r="D13" s="6" t="s">
        <v>14</v>
      </c>
      <c r="E13" s="6" t="s">
        <v>15</v>
      </c>
      <c r="F13" s="6" t="s">
        <v>56</v>
      </c>
      <c r="G13" s="6" t="s">
        <v>17</v>
      </c>
      <c r="H13" s="6">
        <v>1</v>
      </c>
      <c r="I13" s="8">
        <v>55000</v>
      </c>
      <c r="J13" s="9">
        <v>0</v>
      </c>
      <c r="K13" s="6" t="s">
        <v>18</v>
      </c>
      <c r="L13" s="6" t="s">
        <v>19</v>
      </c>
    </row>
    <row r="14" spans="1:12" ht="35.25" thickBot="1" x14ac:dyDescent="0.3">
      <c r="A14" s="2" t="s">
        <v>65</v>
      </c>
      <c r="B14" s="3">
        <v>46095</v>
      </c>
      <c r="C14" s="2" t="s">
        <v>66</v>
      </c>
      <c r="D14" s="2" t="s">
        <v>43</v>
      </c>
      <c r="E14" s="2" t="s">
        <v>23</v>
      </c>
      <c r="F14" s="2" t="s">
        <v>49</v>
      </c>
      <c r="G14" s="2" t="s">
        <v>50</v>
      </c>
      <c r="H14" s="2">
        <v>5</v>
      </c>
      <c r="I14" s="4">
        <v>2200</v>
      </c>
      <c r="J14" s="5">
        <v>0.2</v>
      </c>
      <c r="K14" s="2" t="s">
        <v>11</v>
      </c>
      <c r="L14" s="2" t="s">
        <v>32</v>
      </c>
    </row>
    <row r="15" spans="1:12" ht="35.25" thickBot="1" x14ac:dyDescent="0.3">
      <c r="A15" s="6" t="s">
        <v>67</v>
      </c>
      <c r="B15" s="7">
        <v>46148</v>
      </c>
      <c r="C15" s="6" t="s">
        <v>68</v>
      </c>
      <c r="D15" s="6" t="s">
        <v>59</v>
      </c>
      <c r="E15" s="6" t="s">
        <v>23</v>
      </c>
      <c r="F15" s="6" t="s">
        <v>56</v>
      </c>
      <c r="G15" s="6" t="s">
        <v>17</v>
      </c>
      <c r="H15" s="6">
        <v>2</v>
      </c>
      <c r="I15" s="8">
        <v>55000</v>
      </c>
      <c r="J15" s="9">
        <v>0.1</v>
      </c>
      <c r="K15" s="6" t="s">
        <v>18</v>
      </c>
      <c r="L15" s="6" t="s">
        <v>19</v>
      </c>
    </row>
    <row r="16" spans="1:12" ht="35.25" thickBot="1" x14ac:dyDescent="0.3">
      <c r="A16" s="2" t="s">
        <v>69</v>
      </c>
      <c r="B16" s="3">
        <v>46140</v>
      </c>
      <c r="C16" s="2" t="s">
        <v>70</v>
      </c>
      <c r="D16" s="2" t="s">
        <v>22</v>
      </c>
      <c r="E16" s="2" t="s">
        <v>23</v>
      </c>
      <c r="F16" s="2" t="s">
        <v>44</v>
      </c>
      <c r="G16" s="2" t="s">
        <v>36</v>
      </c>
      <c r="H16" s="2">
        <v>2</v>
      </c>
      <c r="I16" s="4">
        <v>800</v>
      </c>
      <c r="J16" s="5">
        <v>0.15</v>
      </c>
      <c r="K16" s="2" t="s">
        <v>40</v>
      </c>
      <c r="L16" s="2" t="s">
        <v>19</v>
      </c>
    </row>
    <row r="17" spans="1:12" ht="35.25" thickBot="1" x14ac:dyDescent="0.3">
      <c r="A17" s="6" t="s">
        <v>71</v>
      </c>
      <c r="B17" s="7">
        <v>46073</v>
      </c>
      <c r="C17" s="6" t="s">
        <v>72</v>
      </c>
      <c r="D17" s="6" t="s">
        <v>73</v>
      </c>
      <c r="E17" s="6" t="s">
        <v>48</v>
      </c>
      <c r="F17" s="6" t="s">
        <v>35</v>
      </c>
      <c r="G17" s="6" t="s">
        <v>36</v>
      </c>
      <c r="H17" s="6">
        <v>2</v>
      </c>
      <c r="I17" s="8">
        <v>1200</v>
      </c>
      <c r="J17" s="9">
        <v>0.2</v>
      </c>
      <c r="K17" s="6" t="s">
        <v>74</v>
      </c>
      <c r="L17" s="6" t="s">
        <v>32</v>
      </c>
    </row>
    <row r="18" spans="1:12" ht="35.25" thickBot="1" x14ac:dyDescent="0.3">
      <c r="A18" s="2" t="s">
        <v>75</v>
      </c>
      <c r="B18" s="3">
        <v>46041</v>
      </c>
      <c r="C18" s="2" t="s">
        <v>76</v>
      </c>
      <c r="D18" s="2" t="s">
        <v>59</v>
      </c>
      <c r="E18" s="2" t="s">
        <v>23</v>
      </c>
      <c r="F18" s="2" t="s">
        <v>77</v>
      </c>
      <c r="G18" s="2" t="s">
        <v>17</v>
      </c>
      <c r="H18" s="2">
        <v>3</v>
      </c>
      <c r="I18" s="4">
        <v>18000</v>
      </c>
      <c r="J18" s="5">
        <v>0.15</v>
      </c>
      <c r="K18" s="2" t="s">
        <v>18</v>
      </c>
      <c r="L18" s="2" t="s">
        <v>19</v>
      </c>
    </row>
    <row r="19" spans="1:12" ht="35.25" thickBot="1" x14ac:dyDescent="0.3">
      <c r="A19" s="6" t="s">
        <v>78</v>
      </c>
      <c r="B19" s="7">
        <v>46150</v>
      </c>
      <c r="C19" s="6" t="s">
        <v>79</v>
      </c>
      <c r="D19" s="6" t="s">
        <v>39</v>
      </c>
      <c r="E19" s="6" t="s">
        <v>23</v>
      </c>
      <c r="F19" s="6" t="s">
        <v>44</v>
      </c>
      <c r="G19" s="6" t="s">
        <v>36</v>
      </c>
      <c r="H19" s="6">
        <v>2</v>
      </c>
      <c r="I19" s="8">
        <v>800</v>
      </c>
      <c r="J19" s="9">
        <v>0.1</v>
      </c>
      <c r="K19" s="6" t="s">
        <v>11</v>
      </c>
      <c r="L19" s="6" t="s">
        <v>32</v>
      </c>
    </row>
    <row r="20" spans="1:12" ht="35.25" thickBot="1" x14ac:dyDescent="0.3">
      <c r="A20" s="2" t="s">
        <v>80</v>
      </c>
      <c r="B20" s="3">
        <v>46205</v>
      </c>
      <c r="C20" s="2" t="s">
        <v>81</v>
      </c>
      <c r="D20" s="2" t="s">
        <v>39</v>
      </c>
      <c r="E20" s="2" t="s">
        <v>23</v>
      </c>
      <c r="F20" s="2" t="s">
        <v>16</v>
      </c>
      <c r="G20" s="2" t="s">
        <v>17</v>
      </c>
      <c r="H20" s="2">
        <v>5</v>
      </c>
      <c r="I20" s="4">
        <v>3500</v>
      </c>
      <c r="J20" s="5">
        <v>0.05</v>
      </c>
      <c r="K20" s="2" t="s">
        <v>25</v>
      </c>
      <c r="L20" s="2" t="s">
        <v>19</v>
      </c>
    </row>
    <row r="21" spans="1:12" ht="35.25" thickBot="1" x14ac:dyDescent="0.3">
      <c r="A21" s="6" t="s">
        <v>82</v>
      </c>
      <c r="B21" s="7">
        <v>46174</v>
      </c>
      <c r="C21" s="6" t="s">
        <v>83</v>
      </c>
      <c r="D21" s="6" t="s">
        <v>62</v>
      </c>
      <c r="E21" s="6" t="s">
        <v>15</v>
      </c>
      <c r="F21" s="6" t="s">
        <v>16</v>
      </c>
      <c r="G21" s="6" t="s">
        <v>17</v>
      </c>
      <c r="H21" s="6">
        <v>3</v>
      </c>
      <c r="I21" s="8">
        <v>3500</v>
      </c>
      <c r="J21" s="9">
        <v>0.1</v>
      </c>
      <c r="K21" s="6" t="s">
        <v>40</v>
      </c>
      <c r="L21" s="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E9B2-93F6-4195-AB31-2D5384B169C9}">
  <dimension ref="A1:AA21"/>
  <sheetViews>
    <sheetView tabSelected="1" topLeftCell="B1" zoomScale="91" zoomScaleNormal="106" workbookViewId="0">
      <selection activeCell="C10" sqref="C10"/>
    </sheetView>
  </sheetViews>
  <sheetFormatPr defaultRowHeight="15" x14ac:dyDescent="0.25"/>
  <cols>
    <col min="1" max="1" width="11.140625" customWidth="1"/>
    <col min="2" max="2" width="13.42578125" customWidth="1"/>
    <col min="3" max="3" width="14.5703125" customWidth="1"/>
    <col min="5" max="5" width="9.28515625" customWidth="1"/>
    <col min="6" max="6" width="10" customWidth="1"/>
    <col min="7" max="7" width="11" customWidth="1"/>
    <col min="8" max="8" width="10.85546875" customWidth="1"/>
    <col min="9" max="9" width="12.42578125" customWidth="1"/>
    <col min="10" max="10" width="10.85546875" customWidth="1"/>
    <col min="11" max="11" width="14.7109375" customWidth="1"/>
    <col min="12" max="12" width="11.42578125" customWidth="1"/>
    <col min="25" max="25" width="11.28515625" bestFit="1" customWidth="1"/>
    <col min="26" max="26" width="12.140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7" x14ac:dyDescent="0.25">
      <c r="A2" t="s">
        <v>12</v>
      </c>
      <c r="B2">
        <v>46249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</v>
      </c>
      <c r="I2">
        <v>3500</v>
      </c>
      <c r="J2">
        <v>0</v>
      </c>
      <c r="K2" t="s">
        <v>18</v>
      </c>
      <c r="L2" t="s">
        <v>19</v>
      </c>
      <c r="N2" t="b">
        <f>NOT(Table1[[#This Row],[Category]]="ELECTRONICS")</f>
        <v>0</v>
      </c>
      <c r="O2" t="b">
        <f>AND(Table1[[#This Row],[Unit_Price]]&gt;=1000)</f>
        <v>1</v>
      </c>
      <c r="Q2" t="b">
        <f>OR(Table1[[#This Row],[Unit_Price]]&gt;=10000)</f>
        <v>0</v>
      </c>
      <c r="S2">
        <f>IF(Table1[[#This Row],[Returned]]="YES",1,0)</f>
        <v>0</v>
      </c>
      <c r="U2" t="str">
        <f>IF(Table1[[#This Row],[Unit_Price]]&lt;500,"LOW",IF(Table1[[#This Row],[Unit_Price]]&lt;1000,"MEDIAN",IF(Table1[[#This Row],[Unit_Price]]&lt;5000,"HIGH","PREMIUM")))</f>
        <v>HIGH</v>
      </c>
      <c r="W2" t="str" cm="1">
        <f t="array" ref="W2">_xlfn.IFS(Table1[[#This Row],[Unit_Price]]&lt;500,"LOW",Table1[[#This Row],[Unit_Price]]&lt;1000,"MEDIUM",U4&lt;5000,"HIGH",TRUE,"PREMIUM")</f>
        <v>PREMIUM</v>
      </c>
      <c r="Y2" t="str" cm="1">
        <f t="array" ref="Y2">_xlfn.SWITCH(TRUE,Table1[[#This Row],[Unit_Price]]&lt;500,"LOW",Table1[[#This Row],[Unit_Price]]&lt;1000,"MEDIUM",Table1[[#This Row],[Unit_Price]]&lt;5000,"HIGER","PREMIMUM")</f>
        <v>HIGER</v>
      </c>
      <c r="Z2" t="str" cm="1">
        <f t="array" ref="Z2">_xlfn.SWITCH(Table1[[#This Row],[Order_Status]],"DELIVERED","COMPLETE","CANCELLED","STOPPED","PROCESSING")</f>
        <v>COMPLETE</v>
      </c>
      <c r="AA2" t="str" cm="1">
        <f t="array" ref="AA2">_xlfn.SWITCH(TRUE,Table1[[#This Row],[Unit_Price]]&lt;500,"LOW",Table1[[#This Row],[Unit_Price]]&lt;1000,"MEDIUM",Table1[[#This Row],[Unit_Price]]&lt;5000,"HIGH","PREMIUM")</f>
        <v>HIGH</v>
      </c>
    </row>
    <row r="3" spans="1:27" x14ac:dyDescent="0.25">
      <c r="A3" t="s">
        <v>20</v>
      </c>
      <c r="B3">
        <v>46023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>
        <v>3</v>
      </c>
      <c r="I3">
        <v>4500</v>
      </c>
      <c r="J3">
        <v>0.1</v>
      </c>
      <c r="K3" t="s">
        <v>25</v>
      </c>
      <c r="L3" t="s">
        <v>19</v>
      </c>
      <c r="N3" t="b">
        <f>NOT(Table1[[#This Row],[Category]]="ELECTRONICS")</f>
        <v>0</v>
      </c>
      <c r="O3" t="b">
        <f>AND(Table1[[#This Row],[Unit_Price]]&gt;=1000)</f>
        <v>1</v>
      </c>
      <c r="Q3" t="b">
        <f>OR(Table1[[#This Row],[Unit_Price]]&gt;=10000)</f>
        <v>0</v>
      </c>
      <c r="S3">
        <f>IF(Table1[[#This Row],[Returned]]="YES",1,0)</f>
        <v>0</v>
      </c>
      <c r="U3" t="str">
        <f>IF(Table1[[#This Row],[Unit_Price]]&lt;500,"LOW",IF(Table1[[#This Row],[Unit_Price]]&lt;1000,"MEDIAN",IF(Table1[[#This Row],[Unit_Price]]&lt;5000,"HIGH","PREMIUM")))</f>
        <v>HIGH</v>
      </c>
      <c r="W3" t="str" cm="1">
        <f t="array" ref="W3">_xlfn.IFS(Table1[[#This Row],[Unit_Price]]&lt;500,"LOW",Table1[[#This Row],[Unit_Price]]&lt;1000,"MEDIUM",U5&lt;5000,"HIGH",TRUE,"PREMIUM")</f>
        <v>PREMIUM</v>
      </c>
      <c r="Y3" t="str" cm="1">
        <f t="array" ref="Y3">_xlfn.SWITCH(TRUE,Table1[[#This Row],[Unit_Price]]&lt;500,"LOW",Table1[[#This Row],[Unit_Price]]&lt;1000,"MEDIUM",Table1[[#This Row],[Unit_Price]]&lt;5000,"HIGER","PREMIMUM")</f>
        <v>HIGER</v>
      </c>
      <c r="Z3" t="str" cm="1">
        <f t="array" ref="Z3">_xlfn.SWITCH(Table1[[#This Row],[Order_Status]],"DELIVERED","COMPLETE","CANCELLED","STOPPED","PROCESSING")</f>
        <v>PROCESSING</v>
      </c>
      <c r="AA3" t="str" cm="1">
        <f t="array" ref="AA3">_xlfn.SWITCH(TRUE,Table1[[#This Row],[Unit_Price]]&lt;500,"LOW",Table1[[#This Row],[Unit_Price]]&lt;1000,"MEDIUM",Table1[[#This Row],[Unit_Price]]&lt;5000,"HIGH","PREMIUM")</f>
        <v>HIGH</v>
      </c>
    </row>
    <row r="4" spans="1:27" x14ac:dyDescent="0.25">
      <c r="A4" t="s">
        <v>26</v>
      </c>
      <c r="B4">
        <v>46067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>
        <v>2</v>
      </c>
      <c r="I4">
        <v>1800</v>
      </c>
      <c r="J4">
        <v>0</v>
      </c>
      <c r="K4" t="s">
        <v>11</v>
      </c>
      <c r="L4" t="s">
        <v>32</v>
      </c>
      <c r="N4" t="b">
        <f>NOT(Table1[[#This Row],[Category]]="ELECTRONICS")</f>
        <v>1</v>
      </c>
      <c r="O4" t="b">
        <f>AND(Table1[[#This Row],[Unit_Price]]&gt;=1000)</f>
        <v>1</v>
      </c>
      <c r="Q4" t="b">
        <f>OR(Table1[[#This Row],[Unit_Price]]&gt;=10000)</f>
        <v>0</v>
      </c>
      <c r="S4">
        <f>IF(Table1[[#This Row],[Returned]]="YES",1,0)</f>
        <v>1</v>
      </c>
      <c r="U4" t="str">
        <f>IF(Table1[[#This Row],[Unit_Price]]&lt;500,"LOW",IF(Table1[[#This Row],[Unit_Price]]&lt;1000,"MEDIAN",IF(Table1[[#This Row],[Unit_Price]]&lt;5000,"HIGH","PREMIUM")))</f>
        <v>HIGH</v>
      </c>
      <c r="W4" t="str" cm="1">
        <f t="array" ref="W4">_xlfn.IFS(Table1[[#This Row],[Unit_Price]]&lt;500,"LOW",Table1[[#This Row],[Unit_Price]]&lt;1000,"MEDIUM",U6&lt;5000,"HIGH",TRUE,"PREMIUM")</f>
        <v>PREMIUM</v>
      </c>
      <c r="Y4" t="str" cm="1">
        <f t="array" ref="Y4">_xlfn.SWITCH(TRUE,Table1[[#This Row],[Unit_Price]]&lt;500,"LOW",Table1[[#This Row],[Unit_Price]]&lt;1000,"MEDIUM",Table1[[#This Row],[Unit_Price]]&lt;5000,"HIGER","PREMIMUM")</f>
        <v>HIGER</v>
      </c>
      <c r="Z4" t="str" cm="1">
        <f t="array" ref="Z4">_xlfn.SWITCH(Table1[[#This Row],[Order_Status]],"DELIVERED","COMPLETE","CANCELLED","STOPPED","PROCESSING")</f>
        <v>PROCESSING</v>
      </c>
      <c r="AA4" t="str" cm="1">
        <f t="array" ref="AA4">_xlfn.SWITCH(TRUE,Table1[[#This Row],[Unit_Price]]&lt;500,"LOW",Table1[[#This Row],[Unit_Price]]&lt;1000,"MEDIUM",Table1[[#This Row],[Unit_Price]]&lt;5000,"HIGH","PREMIUM")</f>
        <v>HIGH</v>
      </c>
    </row>
    <row r="5" spans="1:27" x14ac:dyDescent="0.25">
      <c r="A5" t="s">
        <v>33</v>
      </c>
      <c r="B5">
        <v>46095</v>
      </c>
      <c r="C5" t="s">
        <v>34</v>
      </c>
      <c r="D5" t="s">
        <v>22</v>
      </c>
      <c r="E5" t="s">
        <v>23</v>
      </c>
      <c r="F5" t="s">
        <v>35</v>
      </c>
      <c r="G5" t="s">
        <v>36</v>
      </c>
      <c r="H5">
        <v>1</v>
      </c>
      <c r="I5">
        <v>1200</v>
      </c>
      <c r="J5">
        <v>0.15</v>
      </c>
      <c r="K5" t="s">
        <v>18</v>
      </c>
      <c r="L5" t="s">
        <v>19</v>
      </c>
      <c r="N5" t="b">
        <f>NOT(Table1[[#This Row],[Category]]="ELECTRONICS")</f>
        <v>1</v>
      </c>
      <c r="O5" t="b">
        <f>AND(Table1[[#This Row],[Unit_Price]]&gt;=1000)</f>
        <v>1</v>
      </c>
      <c r="Q5" t="b">
        <f>OR(Table1[[#This Row],[Unit_Price]]&gt;=10000)</f>
        <v>0</v>
      </c>
      <c r="S5">
        <f>IF(Table1[[#This Row],[Returned]]="YES",1,0)</f>
        <v>0</v>
      </c>
      <c r="U5" t="str">
        <f>IF(Table1[[#This Row],[Unit_Price]]&lt;500,"LOW",IF(Table1[[#This Row],[Unit_Price]]&lt;1000,"MEDIAN",IF(Table1[[#This Row],[Unit_Price]]&lt;5000,"HIGH","PREMIUM")))</f>
        <v>HIGH</v>
      </c>
      <c r="W5" t="str" cm="1">
        <f t="array" ref="W5">_xlfn.IFS(Table1[[#This Row],[Unit_Price]]&lt;500,"LOW",Table1[[#This Row],[Unit_Price]]&lt;1000,"MEDIUM",U7&lt;5000,"HIGH",TRUE,"PREMIUM")</f>
        <v>PREMIUM</v>
      </c>
      <c r="Y5" t="str" cm="1">
        <f t="array" ref="Y5">_xlfn.SWITCH(TRUE,Table1[[#This Row],[Unit_Price]]&lt;500,"LOW",Table1[[#This Row],[Unit_Price]]&lt;1000,"MEDIUM",Table1[[#This Row],[Unit_Price]]&lt;5000,"HIGER","PREMIMUM")</f>
        <v>HIGER</v>
      </c>
      <c r="Z5" t="str" cm="1">
        <f t="array" ref="Z5">_xlfn.SWITCH(Table1[[#This Row],[Order_Status]],"DELIVERED","COMPLETE","CANCELLED","STOPPED","PROCESSING")</f>
        <v>COMPLETE</v>
      </c>
      <c r="AA5" t="str" cm="1">
        <f t="array" ref="AA5">_xlfn.SWITCH(TRUE,Table1[[#This Row],[Unit_Price]]&lt;500,"LOW",Table1[[#This Row],[Unit_Price]]&lt;1000,"MEDIUM",Table1[[#This Row],[Unit_Price]]&lt;5000,"HIGH","PREMIUM")</f>
        <v>HIGH</v>
      </c>
    </row>
    <row r="6" spans="1:27" x14ac:dyDescent="0.25">
      <c r="A6" t="s">
        <v>37</v>
      </c>
      <c r="B6">
        <v>46076</v>
      </c>
      <c r="C6" t="s">
        <v>38</v>
      </c>
      <c r="D6" t="s">
        <v>39</v>
      </c>
      <c r="E6" t="s">
        <v>23</v>
      </c>
      <c r="F6" t="s">
        <v>24</v>
      </c>
      <c r="G6" t="s">
        <v>17</v>
      </c>
      <c r="H6">
        <v>2</v>
      </c>
      <c r="I6">
        <v>4500</v>
      </c>
      <c r="J6">
        <v>0</v>
      </c>
      <c r="K6" t="s">
        <v>40</v>
      </c>
      <c r="L6" t="s">
        <v>19</v>
      </c>
      <c r="N6" t="b">
        <f>NOT(Table1[[#This Row],[Category]]="ELECTRONICS")</f>
        <v>0</v>
      </c>
      <c r="O6" t="b">
        <f>AND(Table1[[#This Row],[Unit_Price]]&gt;=1000)</f>
        <v>1</v>
      </c>
      <c r="Q6" t="b">
        <f>OR(Table1[[#This Row],[Unit_Price]]&gt;=10000)</f>
        <v>0</v>
      </c>
      <c r="S6">
        <f>IF(Table1[[#This Row],[Returned]]="YES",1,0)</f>
        <v>0</v>
      </c>
      <c r="U6" t="str">
        <f>IF(Table1[[#This Row],[Unit_Price]]&lt;500,"LOW",IF(Table1[[#This Row],[Unit_Price]]&lt;1000,"MEDIAN",IF(Table1[[#This Row],[Unit_Price]]&lt;5000,"HIGH","PREMIUM")))</f>
        <v>HIGH</v>
      </c>
      <c r="W6" t="str" cm="1">
        <f t="array" ref="W6">_xlfn.IFS(Table1[[#This Row],[Unit_Price]]&lt;500,"LOW",Table1[[#This Row],[Unit_Price]]&lt;1000,"MEDIUM",U8&lt;5000,"HIGH",TRUE,"PREMIUM")</f>
        <v>PREMIUM</v>
      </c>
      <c r="Y6" t="str" cm="1">
        <f t="array" ref="Y6">_xlfn.SWITCH(TRUE,Table1[[#This Row],[Unit_Price]]&lt;500,"LOW",Table1[[#This Row],[Unit_Price]]&lt;1000,"MEDIUM",Table1[[#This Row],[Unit_Price]]&lt;5000,"HIGER","PREMIMUM")</f>
        <v>HIGER</v>
      </c>
      <c r="Z6" t="str" cm="1">
        <f t="array" ref="Z6">_xlfn.SWITCH(Table1[[#This Row],[Order_Status]],"DELIVERED","COMPLETE","CANCELLED","STOPPED","PROCESSING")</f>
        <v>PROCESSING</v>
      </c>
      <c r="AA6" t="str" cm="1">
        <f t="array" ref="AA6">_xlfn.SWITCH(TRUE,Table1[[#This Row],[Unit_Price]]&lt;500,"LOW",Table1[[#This Row],[Unit_Price]]&lt;1000,"MEDIUM",Table1[[#This Row],[Unit_Price]]&lt;5000,"HIGH","PREMIUM")</f>
        <v>HIGH</v>
      </c>
    </row>
    <row r="7" spans="1:27" x14ac:dyDescent="0.25">
      <c r="A7" t="s">
        <v>41</v>
      </c>
      <c r="B7">
        <v>46227</v>
      </c>
      <c r="C7" t="s">
        <v>42</v>
      </c>
      <c r="D7" t="s">
        <v>43</v>
      </c>
      <c r="E7" t="s">
        <v>23</v>
      </c>
      <c r="F7" t="s">
        <v>44</v>
      </c>
      <c r="G7" t="s">
        <v>36</v>
      </c>
      <c r="H7">
        <v>4</v>
      </c>
      <c r="I7">
        <v>800</v>
      </c>
      <c r="J7">
        <v>0.1</v>
      </c>
      <c r="K7" t="s">
        <v>25</v>
      </c>
      <c r="L7" t="s">
        <v>19</v>
      </c>
      <c r="N7" t="b">
        <f>NOT(Table1[[#This Row],[Category]]="ELECTRONICS")</f>
        <v>1</v>
      </c>
      <c r="O7" t="b">
        <f>AND(Table1[[#This Row],[Unit_Price]]&gt;=1000)</f>
        <v>0</v>
      </c>
      <c r="Q7" t="b">
        <f>OR(Table1[[#This Row],[Unit_Price]]&gt;=10000)</f>
        <v>0</v>
      </c>
      <c r="S7">
        <f>IF(Table1[[#This Row],[Returned]]="YES",1,0)</f>
        <v>0</v>
      </c>
      <c r="U7" t="str">
        <f>IF(Table1[[#This Row],[Unit_Price]]&lt;500,"LOW",IF(Table1[[#This Row],[Unit_Price]]&lt;1000,"MEDIAN",IF(Table1[[#This Row],[Unit_Price]]&lt;5000,"HIGH","PREMIUM")))</f>
        <v>MEDIAN</v>
      </c>
      <c r="W7" t="str" cm="1">
        <f t="array" ref="W7">_xlfn.IFS(Table1[[#This Row],[Unit_Price]]&lt;500,"LOW",Table1[[#This Row],[Unit_Price]]&lt;1000,"MEDIUM",U9&lt;5000,"HIGH",TRUE,"PREMIUM")</f>
        <v>MEDIUM</v>
      </c>
      <c r="Y7" t="str" cm="1">
        <f t="array" ref="Y7">_xlfn.SWITCH(TRUE,Table1[[#This Row],[Unit_Price]]&lt;500,"LOW",Table1[[#This Row],[Unit_Price]]&lt;1000,"MEDIUM",Table1[[#This Row],[Unit_Price]]&lt;5000,"HIGER","PREMIMUM")</f>
        <v>MEDIUM</v>
      </c>
      <c r="Z7" t="str" cm="1">
        <f t="array" ref="Z7">_xlfn.SWITCH(Table1[[#This Row],[Order_Status]],"DELIVERED","COMPLETE","CANCELLED","STOPPED","PROCESSING")</f>
        <v>PROCESSING</v>
      </c>
      <c r="AA7" t="str" cm="1">
        <f t="array" ref="AA7">_xlfn.SWITCH(TRUE,Table1[[#This Row],[Unit_Price]]&lt;500,"LOW",Table1[[#This Row],[Unit_Price]]&lt;1000,"MEDIUM",Table1[[#This Row],[Unit_Price]]&lt;5000,"HIGH","PREMIUM")</f>
        <v>MEDIUM</v>
      </c>
    </row>
    <row r="8" spans="1:27" x14ac:dyDescent="0.25">
      <c r="A8" t="s">
        <v>45</v>
      </c>
      <c r="B8">
        <v>46184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>
        <v>2</v>
      </c>
      <c r="I8">
        <v>2200</v>
      </c>
      <c r="J8">
        <v>0</v>
      </c>
      <c r="K8" t="s">
        <v>11</v>
      </c>
      <c r="L8" t="s">
        <v>32</v>
      </c>
      <c r="N8" t="b">
        <f>NOT(Table1[[#This Row],[Category]]="ELECTRONICS")</f>
        <v>1</v>
      </c>
      <c r="O8" t="b">
        <f>AND(Table1[[#This Row],[Unit_Price]]&gt;=1000)</f>
        <v>1</v>
      </c>
      <c r="Q8" t="b">
        <f>OR(Table1[[#This Row],[Unit_Price]]&gt;=10000)</f>
        <v>0</v>
      </c>
      <c r="S8">
        <f>IF(Table1[[#This Row],[Returned]]="YES",1,0)</f>
        <v>1</v>
      </c>
      <c r="U8" t="str">
        <f>IF(Table1[[#This Row],[Unit_Price]]&lt;500,"LOW",IF(Table1[[#This Row],[Unit_Price]]&lt;1000,"MEDIAN",IF(Table1[[#This Row],[Unit_Price]]&lt;5000,"HIGH","PREMIUM")))</f>
        <v>HIGH</v>
      </c>
      <c r="W8" t="str" cm="1">
        <f t="array" ref="W8">_xlfn.IFS(Table1[[#This Row],[Unit_Price]]&lt;500,"LOW",Table1[[#This Row],[Unit_Price]]&lt;1000,"MEDIUM",U10&lt;5000,"HIGH",TRUE,"PREMIUM")</f>
        <v>PREMIUM</v>
      </c>
      <c r="Y8" t="str" cm="1">
        <f t="array" ref="Y8">_xlfn.SWITCH(TRUE,Table1[[#This Row],[Unit_Price]]&lt;500,"LOW",Table1[[#This Row],[Unit_Price]]&lt;1000,"MEDIUM",Table1[[#This Row],[Unit_Price]]&lt;5000,"HIGER","PREMIMUM")</f>
        <v>HIGER</v>
      </c>
      <c r="Z8" t="str" cm="1">
        <f t="array" ref="Z8">_xlfn.SWITCH(Table1[[#This Row],[Order_Status]],"DELIVERED","COMPLETE","CANCELLED","STOPPED","PROCESSING")</f>
        <v>PROCESSING</v>
      </c>
      <c r="AA8" t="str" cm="1">
        <f t="array" ref="AA8">_xlfn.SWITCH(TRUE,Table1[[#This Row],[Unit_Price]]&lt;500,"LOW",Table1[[#This Row],[Unit_Price]]&lt;1000,"MEDIUM",Table1[[#This Row],[Unit_Price]]&lt;5000,"HIGH","PREMIUM")</f>
        <v>HIGH</v>
      </c>
    </row>
    <row r="9" spans="1:27" x14ac:dyDescent="0.25">
      <c r="A9" t="s">
        <v>51</v>
      </c>
      <c r="B9">
        <v>46243</v>
      </c>
      <c r="C9" t="s">
        <v>52</v>
      </c>
      <c r="D9" t="s">
        <v>47</v>
      </c>
      <c r="E9" t="s">
        <v>48</v>
      </c>
      <c r="F9" t="s">
        <v>35</v>
      </c>
      <c r="G9" t="s">
        <v>36</v>
      </c>
      <c r="H9">
        <v>2</v>
      </c>
      <c r="I9">
        <v>1200</v>
      </c>
      <c r="J9">
        <v>0.2</v>
      </c>
      <c r="K9" t="s">
        <v>18</v>
      </c>
      <c r="L9" t="s">
        <v>19</v>
      </c>
      <c r="N9" t="b">
        <f>NOT(Table1[[#This Row],[Category]]="ELECTRONICS")</f>
        <v>1</v>
      </c>
      <c r="O9" t="b">
        <f>AND(Table1[[#This Row],[Unit_Price]]&gt;=1000)</f>
        <v>1</v>
      </c>
      <c r="Q9" t="b">
        <f>OR(Table1[[#This Row],[Unit_Price]]&gt;=10000)</f>
        <v>0</v>
      </c>
      <c r="S9">
        <f>IF(Table1[[#This Row],[Returned]]="YES",1,0)</f>
        <v>0</v>
      </c>
      <c r="U9" t="str">
        <f>IF(Table1[[#This Row],[Unit_Price]]&lt;500,"LOW",IF(Table1[[#This Row],[Unit_Price]]&lt;1000,"MEDIAN",IF(Table1[[#This Row],[Unit_Price]]&lt;5000,"HIGH","PREMIUM")))</f>
        <v>HIGH</v>
      </c>
      <c r="W9" t="str" cm="1">
        <f t="array" ref="W9">_xlfn.IFS(Table1[[#This Row],[Unit_Price]]&lt;500,"LOW",Table1[[#This Row],[Unit_Price]]&lt;1000,"MEDIUM",U11&lt;5000,"HIGH",TRUE,"PREMIUM")</f>
        <v>PREMIUM</v>
      </c>
      <c r="Y9" t="str" cm="1">
        <f t="array" ref="Y9">_xlfn.SWITCH(TRUE,Table1[[#This Row],[Unit_Price]]&lt;500,"LOW",Table1[[#This Row],[Unit_Price]]&lt;1000,"MEDIUM",Table1[[#This Row],[Unit_Price]]&lt;5000,"HIGER","PREMIMUM")</f>
        <v>HIGER</v>
      </c>
      <c r="Z9" t="str" cm="1">
        <f t="array" ref="Z9">_xlfn.SWITCH(Table1[[#This Row],[Order_Status]],"DELIVERED","COMPLETE","CANCELLED","STOPPED","PROCESSING")</f>
        <v>COMPLETE</v>
      </c>
      <c r="AA9" t="str" cm="1">
        <f t="array" ref="AA9">_xlfn.SWITCH(TRUE,Table1[[#This Row],[Unit_Price]]&lt;500,"LOW",Table1[[#This Row],[Unit_Price]]&lt;1000,"MEDIUM",Table1[[#This Row],[Unit_Price]]&lt;5000,"HIGH","PREMIUM")</f>
        <v>HIGH</v>
      </c>
    </row>
    <row r="10" spans="1:27" x14ac:dyDescent="0.25">
      <c r="A10" t="s">
        <v>53</v>
      </c>
      <c r="B10">
        <v>46202</v>
      </c>
      <c r="C10" t="s">
        <v>54</v>
      </c>
      <c r="D10" t="s">
        <v>55</v>
      </c>
      <c r="E10" t="s">
        <v>29</v>
      </c>
      <c r="F10" t="s">
        <v>56</v>
      </c>
      <c r="G10" t="s">
        <v>17</v>
      </c>
      <c r="H10">
        <v>1</v>
      </c>
      <c r="I10">
        <v>55000</v>
      </c>
      <c r="J10">
        <v>0.05</v>
      </c>
      <c r="K10" t="s">
        <v>25</v>
      </c>
      <c r="L10" t="s">
        <v>19</v>
      </c>
      <c r="N10" t="b">
        <f>NOT(Table1[[#This Row],[Category]]="ELECTRONICS")</f>
        <v>0</v>
      </c>
      <c r="O10" t="b">
        <f>AND(Table1[[#This Row],[Unit_Price]]&gt;=1000)</f>
        <v>1</v>
      </c>
      <c r="Q10" t="b">
        <f>OR(Table1[[#This Row],[Unit_Price]]&gt;=10000)</f>
        <v>1</v>
      </c>
      <c r="S10">
        <f>IF(Table1[[#This Row],[Returned]]="YES",1,0)</f>
        <v>0</v>
      </c>
      <c r="U10" t="str">
        <f>IF(Table1[[#This Row],[Unit_Price]]&lt;500,"LOW",IF(Table1[[#This Row],[Unit_Price]]&lt;1000,"MEDIAN",IF(Table1[[#This Row],[Unit_Price]]&lt;5000,"HIGH","PREMIUM")))</f>
        <v>PREMIUM</v>
      </c>
      <c r="W10" t="str" cm="1">
        <f t="array" ref="W10">_xlfn.IFS(Table1[[#This Row],[Unit_Price]]&lt;500,"LOW",Table1[[#This Row],[Unit_Price]]&lt;1000,"MEDIUM",U12&lt;5000,"HIGH",TRUE,"PREMIUM")</f>
        <v>PREMIUM</v>
      </c>
      <c r="Y10" t="str" cm="1">
        <f t="array" ref="Y10">_xlfn.SWITCH(TRUE,Table1[[#This Row],[Unit_Price]]&lt;500,"LOW",Table1[[#This Row],[Unit_Price]]&lt;1000,"MEDIUM",Table1[[#This Row],[Unit_Price]]&lt;5000,"HIGER","PREMIMUM")</f>
        <v>PREMIMUM</v>
      </c>
      <c r="Z10" t="str" cm="1">
        <f t="array" ref="Z10">_xlfn.SWITCH(Table1[[#This Row],[Order_Status]],"DELIVERED","COMPLETE","CANCELLED","STOPPED","PROCESSING")</f>
        <v>PROCESSING</v>
      </c>
      <c r="AA10" t="str" cm="1">
        <f t="array" ref="AA10">_xlfn.SWITCH(TRUE,Table1[[#This Row],[Unit_Price]]&lt;500,"LOW",Table1[[#This Row],[Unit_Price]]&lt;1000,"MEDIUM",Table1[[#This Row],[Unit_Price]]&lt;5000,"HIGH","PREMIUM")</f>
        <v>PREMIUM</v>
      </c>
    </row>
    <row r="11" spans="1:27" x14ac:dyDescent="0.25">
      <c r="A11" t="s">
        <v>57</v>
      </c>
      <c r="B11">
        <v>46042</v>
      </c>
      <c r="C11" t="s">
        <v>58</v>
      </c>
      <c r="D11" t="s">
        <v>59</v>
      </c>
      <c r="E11" t="s">
        <v>23</v>
      </c>
      <c r="F11" t="s">
        <v>49</v>
      </c>
      <c r="G11" t="s">
        <v>50</v>
      </c>
      <c r="H11">
        <v>1</v>
      </c>
      <c r="I11">
        <v>2200</v>
      </c>
      <c r="J11">
        <v>0.2</v>
      </c>
      <c r="K11" t="s">
        <v>18</v>
      </c>
      <c r="L11" t="s">
        <v>19</v>
      </c>
      <c r="N11" t="b">
        <f>NOT(Table1[[#This Row],[Category]]="ELECTRONICS")</f>
        <v>1</v>
      </c>
      <c r="O11" t="b">
        <f>AND(Table1[[#This Row],[Unit_Price]]&gt;=1000)</f>
        <v>1</v>
      </c>
      <c r="Q11" t="b">
        <f>OR(Table1[[#This Row],[Unit_Price]]&gt;=10000)</f>
        <v>0</v>
      </c>
      <c r="S11">
        <f>IF(Table1[[#This Row],[Returned]]="YES",1,0)</f>
        <v>0</v>
      </c>
      <c r="U11" t="str">
        <f>IF(Table1[[#This Row],[Unit_Price]]&lt;500,"LOW",IF(Table1[[#This Row],[Unit_Price]]&lt;1000,"MEDIAN",IF(Table1[[#This Row],[Unit_Price]]&lt;5000,"HIGH","PREMIUM")))</f>
        <v>HIGH</v>
      </c>
      <c r="W11" t="str" cm="1">
        <f t="array" ref="W11">_xlfn.IFS(Table1[[#This Row],[Unit_Price]]&lt;500,"LOW",Table1[[#This Row],[Unit_Price]]&lt;1000,"MEDIUM",U13&lt;5000,"HIGH",TRUE,"PREMIUM")</f>
        <v>PREMIUM</v>
      </c>
      <c r="Y11" t="str" cm="1">
        <f t="array" ref="Y11">_xlfn.SWITCH(TRUE,Table1[[#This Row],[Unit_Price]]&lt;500,"LOW",Table1[[#This Row],[Unit_Price]]&lt;1000,"MEDIUM",Table1[[#This Row],[Unit_Price]]&lt;5000,"HIGER","PREMIMUM")</f>
        <v>HIGER</v>
      </c>
      <c r="Z11" t="str" cm="1">
        <f t="array" ref="Z11">_xlfn.SWITCH(Table1[[#This Row],[Order_Status]],"DELIVERED","COMPLETE","CANCELLED","STOPPED","PROCESSING")</f>
        <v>COMPLETE</v>
      </c>
      <c r="AA11" t="str" cm="1">
        <f t="array" ref="AA11">_xlfn.SWITCH(TRUE,Table1[[#This Row],[Unit_Price]]&lt;500,"LOW",Table1[[#This Row],[Unit_Price]]&lt;1000,"MEDIUM",Table1[[#This Row],[Unit_Price]]&lt;5000,"HIGH","PREMIUM")</f>
        <v>HIGH</v>
      </c>
    </row>
    <row r="12" spans="1:27" x14ac:dyDescent="0.25">
      <c r="A12" t="s">
        <v>60</v>
      </c>
      <c r="B12">
        <v>46197</v>
      </c>
      <c r="C12" t="s">
        <v>61</v>
      </c>
      <c r="D12" t="s">
        <v>62</v>
      </c>
      <c r="E12" t="s">
        <v>15</v>
      </c>
      <c r="F12" t="s">
        <v>30</v>
      </c>
      <c r="G12" t="s">
        <v>31</v>
      </c>
      <c r="H12">
        <v>1</v>
      </c>
      <c r="I12">
        <v>1800</v>
      </c>
      <c r="J12">
        <v>0.2</v>
      </c>
      <c r="K12" t="s">
        <v>25</v>
      </c>
      <c r="L12" t="s">
        <v>19</v>
      </c>
      <c r="N12" t="b">
        <f>NOT(Table1[[#This Row],[Category]]="ELECTRONICS")</f>
        <v>1</v>
      </c>
      <c r="O12" t="b">
        <f>AND(Table1[[#This Row],[Unit_Price]]&gt;=1000)</f>
        <v>1</v>
      </c>
      <c r="Q12" t="b">
        <f>OR(Table1[[#This Row],[Unit_Price]]&gt;=10000)</f>
        <v>0</v>
      </c>
      <c r="S12">
        <f>IF(Table1[[#This Row],[Returned]]="YES",1,0)</f>
        <v>0</v>
      </c>
      <c r="U12" t="str">
        <f>IF(Table1[[#This Row],[Unit_Price]]&lt;500,"LOW",IF(Table1[[#This Row],[Unit_Price]]&lt;1000,"MEDIAN",IF(Table1[[#This Row],[Unit_Price]]&lt;5000,"HIGH","PREMIUM")))</f>
        <v>HIGH</v>
      </c>
      <c r="W12" t="str" cm="1">
        <f t="array" ref="W12">_xlfn.IFS(Table1[[#This Row],[Unit_Price]]&lt;500,"LOW",Table1[[#This Row],[Unit_Price]]&lt;1000,"MEDIUM",U14&lt;5000,"HIGH",TRUE,"PREMIUM")</f>
        <v>PREMIUM</v>
      </c>
      <c r="Y12" t="str" cm="1">
        <f t="array" ref="Y12">_xlfn.SWITCH(TRUE,Table1[[#This Row],[Unit_Price]]&lt;500,"LOW",Table1[[#This Row],[Unit_Price]]&lt;1000,"MEDIUM",Table1[[#This Row],[Unit_Price]]&lt;5000,"HIGER","PREMIMUM")</f>
        <v>HIGER</v>
      </c>
      <c r="Z12" t="str" cm="1">
        <f t="array" ref="Z12">_xlfn.SWITCH(Table1[[#This Row],[Order_Status]],"DELIVERED","COMPLETE","CANCELLED","STOPPED","PROCESSING")</f>
        <v>PROCESSING</v>
      </c>
      <c r="AA12" t="str" cm="1">
        <f t="array" ref="AA12">_xlfn.SWITCH(TRUE,Table1[[#This Row],[Unit_Price]]&lt;500,"LOW",Table1[[#This Row],[Unit_Price]]&lt;1000,"MEDIUM",Table1[[#This Row],[Unit_Price]]&lt;5000,"HIGH","PREMIUM")</f>
        <v>HIGH</v>
      </c>
    </row>
    <row r="13" spans="1:27" x14ac:dyDescent="0.25">
      <c r="A13" t="s">
        <v>63</v>
      </c>
      <c r="B13">
        <v>46143</v>
      </c>
      <c r="C13" t="s">
        <v>64</v>
      </c>
      <c r="D13" t="s">
        <v>14</v>
      </c>
      <c r="E13" t="s">
        <v>15</v>
      </c>
      <c r="F13" t="s">
        <v>56</v>
      </c>
      <c r="G13" t="s">
        <v>17</v>
      </c>
      <c r="H13">
        <v>1</v>
      </c>
      <c r="I13">
        <v>55000</v>
      </c>
      <c r="J13">
        <v>0</v>
      </c>
      <c r="K13" t="s">
        <v>18</v>
      </c>
      <c r="L13" t="s">
        <v>19</v>
      </c>
      <c r="N13" t="b">
        <f>NOT(Table1[[#This Row],[Category]]="ELECTRONICS")</f>
        <v>0</v>
      </c>
      <c r="O13" t="b">
        <f>AND(Table1[[#This Row],[Unit_Price]]&gt;=1000)</f>
        <v>1</v>
      </c>
      <c r="Q13" t="b">
        <f>OR(Table1[[#This Row],[Unit_Price]]&gt;=10000)</f>
        <v>1</v>
      </c>
      <c r="S13">
        <f>IF(Table1[[#This Row],[Returned]]="YES",1,0)</f>
        <v>0</v>
      </c>
      <c r="U13" t="str">
        <f>IF(Table1[[#This Row],[Unit_Price]]&lt;500,"LOW",IF(Table1[[#This Row],[Unit_Price]]&lt;1000,"MEDIAN",IF(Table1[[#This Row],[Unit_Price]]&lt;5000,"HIGH","PREMIUM")))</f>
        <v>PREMIUM</v>
      </c>
      <c r="W13" t="str" cm="1">
        <f t="array" ref="W13">_xlfn.IFS(Table1[[#This Row],[Unit_Price]]&lt;500,"LOW",Table1[[#This Row],[Unit_Price]]&lt;1000,"MEDIUM",U15&lt;5000,"HIGH",TRUE,"PREMIUM")</f>
        <v>PREMIUM</v>
      </c>
      <c r="Y13" t="str" cm="1">
        <f t="array" ref="Y13">_xlfn.SWITCH(TRUE,Table1[[#This Row],[Unit_Price]]&lt;500,"LOW",Table1[[#This Row],[Unit_Price]]&lt;1000,"MEDIUM",Table1[[#This Row],[Unit_Price]]&lt;5000,"HIGER","PREMIMUM")</f>
        <v>PREMIMUM</v>
      </c>
      <c r="Z13" t="str" cm="1">
        <f t="array" ref="Z13">_xlfn.SWITCH(Table1[[#This Row],[Order_Status]],"DELIVERED","COMPLETE","CANCELLED","STOPPED","PROCESSING")</f>
        <v>COMPLETE</v>
      </c>
      <c r="AA13" t="str" cm="1">
        <f t="array" ref="AA13">_xlfn.SWITCH(TRUE,Table1[[#This Row],[Unit_Price]]&lt;500,"LOW",Table1[[#This Row],[Unit_Price]]&lt;1000,"MEDIUM",Table1[[#This Row],[Unit_Price]]&lt;5000,"HIGH","PREMIUM")</f>
        <v>PREMIUM</v>
      </c>
    </row>
    <row r="14" spans="1:27" x14ac:dyDescent="0.25">
      <c r="A14" t="s">
        <v>65</v>
      </c>
      <c r="B14">
        <v>46095</v>
      </c>
      <c r="C14" t="s">
        <v>66</v>
      </c>
      <c r="D14" t="s">
        <v>43</v>
      </c>
      <c r="E14" t="s">
        <v>23</v>
      </c>
      <c r="F14" t="s">
        <v>49</v>
      </c>
      <c r="G14" t="s">
        <v>50</v>
      </c>
      <c r="H14">
        <v>5</v>
      </c>
      <c r="I14">
        <v>2200</v>
      </c>
      <c r="J14">
        <v>0.2</v>
      </c>
      <c r="K14" t="s">
        <v>11</v>
      </c>
      <c r="L14" t="s">
        <v>32</v>
      </c>
      <c r="N14" t="b">
        <f>NOT(Table1[[#This Row],[Category]]="ELECTRONICS")</f>
        <v>1</v>
      </c>
      <c r="O14" t="b">
        <f>AND(Table1[[#This Row],[Unit_Price]]&gt;=1000)</f>
        <v>1</v>
      </c>
      <c r="Q14" t="b">
        <f>OR(Table1[[#This Row],[Unit_Price]]&gt;=10000)</f>
        <v>0</v>
      </c>
      <c r="S14">
        <f>IF(Table1[[#This Row],[Returned]]="YES",1,0)</f>
        <v>1</v>
      </c>
      <c r="U14" t="str">
        <f>IF(Table1[[#This Row],[Unit_Price]]&lt;500,"LOW",IF(Table1[[#This Row],[Unit_Price]]&lt;1000,"MEDIAN",IF(Table1[[#This Row],[Unit_Price]]&lt;5000,"HIGH","PREMIUM")))</f>
        <v>HIGH</v>
      </c>
      <c r="W14" t="str" cm="1">
        <f t="array" ref="W14">_xlfn.IFS(Table1[[#This Row],[Unit_Price]]&lt;500,"LOW",Table1[[#This Row],[Unit_Price]]&lt;1000,"MEDIUM",U16&lt;5000,"HIGH",TRUE,"PREMIUM")</f>
        <v>PREMIUM</v>
      </c>
      <c r="Y14" t="str" cm="1">
        <f t="array" ref="Y14">_xlfn.SWITCH(TRUE,Table1[[#This Row],[Unit_Price]]&lt;500,"LOW",Table1[[#This Row],[Unit_Price]]&lt;1000,"MEDIUM",Table1[[#This Row],[Unit_Price]]&lt;5000,"HIGER","PREMIMUM")</f>
        <v>HIGER</v>
      </c>
      <c r="Z14" t="str" cm="1">
        <f t="array" ref="Z14">_xlfn.SWITCH(Table1[[#This Row],[Order_Status]],"DELIVERED","COMPLETE","CANCELLED","STOPPED","PROCESSING")</f>
        <v>PROCESSING</v>
      </c>
      <c r="AA14" t="str" cm="1">
        <f t="array" ref="AA14">_xlfn.SWITCH(TRUE,Table1[[#This Row],[Unit_Price]]&lt;500,"LOW",Table1[[#This Row],[Unit_Price]]&lt;1000,"MEDIUM",Table1[[#This Row],[Unit_Price]]&lt;5000,"HIGH","PREMIUM")</f>
        <v>HIGH</v>
      </c>
    </row>
    <row r="15" spans="1:27" x14ac:dyDescent="0.25">
      <c r="A15" t="s">
        <v>67</v>
      </c>
      <c r="B15">
        <v>46148</v>
      </c>
      <c r="C15" t="s">
        <v>68</v>
      </c>
      <c r="D15" t="s">
        <v>59</v>
      </c>
      <c r="E15" t="s">
        <v>23</v>
      </c>
      <c r="F15" t="s">
        <v>56</v>
      </c>
      <c r="G15" t="s">
        <v>17</v>
      </c>
      <c r="H15">
        <v>2</v>
      </c>
      <c r="I15">
        <v>55000</v>
      </c>
      <c r="J15">
        <v>0.1</v>
      </c>
      <c r="K15" t="s">
        <v>18</v>
      </c>
      <c r="L15" t="s">
        <v>19</v>
      </c>
      <c r="N15" t="b">
        <f>NOT(Table1[[#This Row],[Category]]="ELECTRONICS")</f>
        <v>0</v>
      </c>
      <c r="O15" t="b">
        <f>AND(Table1[[#This Row],[Unit_Price]]&gt;=1000)</f>
        <v>1</v>
      </c>
      <c r="Q15" t="b">
        <f>OR(Table1[[#This Row],[Unit_Price]]&gt;=10000)</f>
        <v>1</v>
      </c>
      <c r="S15">
        <f>IF(Table1[[#This Row],[Returned]]="YES",1,0)</f>
        <v>0</v>
      </c>
      <c r="U15" t="str">
        <f>IF(Table1[[#This Row],[Unit_Price]]&lt;500,"LOW",IF(Table1[[#This Row],[Unit_Price]]&lt;1000,"MEDIAN",IF(Table1[[#This Row],[Unit_Price]]&lt;5000,"HIGH","PREMIUM")))</f>
        <v>PREMIUM</v>
      </c>
      <c r="W15" t="str" cm="1">
        <f t="array" ref="W15">_xlfn.IFS(Table1[[#This Row],[Unit_Price]]&lt;500,"LOW",Table1[[#This Row],[Unit_Price]]&lt;1000,"MEDIUM",U17&lt;5000,"HIGH",TRUE,"PREMIUM")</f>
        <v>PREMIUM</v>
      </c>
      <c r="Y15" t="str" cm="1">
        <f t="array" ref="Y15">_xlfn.SWITCH(TRUE,Table1[[#This Row],[Unit_Price]]&lt;500,"LOW",Table1[[#This Row],[Unit_Price]]&lt;1000,"MEDIUM",Table1[[#This Row],[Unit_Price]]&lt;5000,"HIGER","PREMIMUM")</f>
        <v>PREMIMUM</v>
      </c>
      <c r="Z15" t="str" cm="1">
        <f t="array" ref="Z15">_xlfn.SWITCH(Table1[[#This Row],[Order_Status]],"DELIVERED","COMPLETE","CANCELLED","STOPPED","PROCESSING")</f>
        <v>COMPLETE</v>
      </c>
      <c r="AA15" t="str" cm="1">
        <f t="array" ref="AA15">_xlfn.SWITCH(TRUE,Table1[[#This Row],[Unit_Price]]&lt;500,"LOW",Table1[[#This Row],[Unit_Price]]&lt;1000,"MEDIUM",Table1[[#This Row],[Unit_Price]]&lt;5000,"HIGH","PREMIUM")</f>
        <v>PREMIUM</v>
      </c>
    </row>
    <row r="16" spans="1:27" x14ac:dyDescent="0.25">
      <c r="A16" t="s">
        <v>69</v>
      </c>
      <c r="B16">
        <v>46140</v>
      </c>
      <c r="C16" t="s">
        <v>70</v>
      </c>
      <c r="D16" t="s">
        <v>22</v>
      </c>
      <c r="E16" t="s">
        <v>23</v>
      </c>
      <c r="F16" t="s">
        <v>44</v>
      </c>
      <c r="G16" t="s">
        <v>36</v>
      </c>
      <c r="H16">
        <v>2</v>
      </c>
      <c r="I16">
        <v>800</v>
      </c>
      <c r="J16">
        <v>0.15</v>
      </c>
      <c r="K16" t="s">
        <v>40</v>
      </c>
      <c r="L16" t="s">
        <v>19</v>
      </c>
      <c r="N16" t="b">
        <f>NOT(Table1[[#This Row],[Category]]="ELECTRONICS")</f>
        <v>1</v>
      </c>
      <c r="O16" t="b">
        <f>AND(Table1[[#This Row],[Unit_Price]]&gt;=1000)</f>
        <v>0</v>
      </c>
      <c r="Q16" t="b">
        <f>OR(Table1[[#This Row],[Unit_Price]]&gt;=10000)</f>
        <v>0</v>
      </c>
      <c r="S16">
        <f>IF(Table1[[#This Row],[Returned]]="YES",1,0)</f>
        <v>0</v>
      </c>
      <c r="U16" t="str">
        <f>IF(Table1[[#This Row],[Unit_Price]]&lt;500,"LOW",IF(Table1[[#This Row],[Unit_Price]]&lt;1000,"MEDIAN",IF(Table1[[#This Row],[Unit_Price]]&lt;5000,"HIGH","PREMIUM")))</f>
        <v>MEDIAN</v>
      </c>
      <c r="W16" t="str" cm="1">
        <f t="array" ref="W16">_xlfn.IFS(Table1[[#This Row],[Unit_Price]]&lt;500,"LOW",Table1[[#This Row],[Unit_Price]]&lt;1000,"MEDIUM",U18&lt;5000,"HIGH",TRUE,"PREMIUM")</f>
        <v>MEDIUM</v>
      </c>
      <c r="Y16" t="str" cm="1">
        <f t="array" ref="Y16">_xlfn.SWITCH(TRUE,Table1[[#This Row],[Unit_Price]]&lt;500,"LOW",Table1[[#This Row],[Unit_Price]]&lt;1000,"MEDIUM",Table1[[#This Row],[Unit_Price]]&lt;5000,"HIGER","PREMIMUM")</f>
        <v>MEDIUM</v>
      </c>
      <c r="Z16" t="str" cm="1">
        <f t="array" ref="Z16">_xlfn.SWITCH(Table1[[#This Row],[Order_Status]],"DELIVERED","COMPLETE","CANCELLED","STOPPED","PROCESSING")</f>
        <v>PROCESSING</v>
      </c>
      <c r="AA16" t="str" cm="1">
        <f t="array" ref="AA16">_xlfn.SWITCH(TRUE,Table1[[#This Row],[Unit_Price]]&lt;500,"LOW",Table1[[#This Row],[Unit_Price]]&lt;1000,"MEDIUM",Table1[[#This Row],[Unit_Price]]&lt;5000,"HIGH","PREMIUM")</f>
        <v>MEDIUM</v>
      </c>
    </row>
    <row r="17" spans="1:27" x14ac:dyDescent="0.25">
      <c r="A17" t="s">
        <v>71</v>
      </c>
      <c r="B17">
        <v>46073</v>
      </c>
      <c r="C17" t="s">
        <v>72</v>
      </c>
      <c r="D17" t="s">
        <v>73</v>
      </c>
      <c r="E17" t="s">
        <v>48</v>
      </c>
      <c r="F17" t="s">
        <v>35</v>
      </c>
      <c r="G17" t="s">
        <v>36</v>
      </c>
      <c r="H17">
        <v>2</v>
      </c>
      <c r="I17">
        <v>1200</v>
      </c>
      <c r="J17">
        <v>0.2</v>
      </c>
      <c r="K17" t="s">
        <v>74</v>
      </c>
      <c r="L17" t="s">
        <v>32</v>
      </c>
      <c r="N17" t="b">
        <f>NOT(Table1[[#This Row],[Category]]="ELECTRONICS")</f>
        <v>1</v>
      </c>
      <c r="O17" t="b">
        <f>AND(Table1[[#This Row],[Unit_Price]]&gt;=1000)</f>
        <v>1</v>
      </c>
      <c r="Q17" t="b">
        <f>OR(Table1[[#This Row],[Unit_Price]]&gt;=10000)</f>
        <v>0</v>
      </c>
      <c r="S17">
        <f>IF(Table1[[#This Row],[Returned]]="YES",1,0)</f>
        <v>1</v>
      </c>
      <c r="U17" t="str">
        <f>IF(Table1[[#This Row],[Unit_Price]]&lt;500,"LOW",IF(Table1[[#This Row],[Unit_Price]]&lt;1000,"MEDIAN",IF(Table1[[#This Row],[Unit_Price]]&lt;5000,"HIGH","PREMIUM")))</f>
        <v>HIGH</v>
      </c>
      <c r="W17" t="str" cm="1">
        <f t="array" ref="W17">_xlfn.IFS(Table1[[#This Row],[Unit_Price]]&lt;500,"LOW",Table1[[#This Row],[Unit_Price]]&lt;1000,"MEDIUM",U19&lt;5000,"HIGH",TRUE,"PREMIUM")</f>
        <v>PREMIUM</v>
      </c>
      <c r="Y17" t="str" cm="1">
        <f t="array" ref="Y17">_xlfn.SWITCH(TRUE,Table1[[#This Row],[Unit_Price]]&lt;500,"LOW",Table1[[#This Row],[Unit_Price]]&lt;1000,"MEDIUM",Table1[[#This Row],[Unit_Price]]&lt;5000,"HIGER","PREMIMUM")</f>
        <v>HIGER</v>
      </c>
      <c r="Z17" t="str" cm="1">
        <f t="array" ref="Z17">_xlfn.SWITCH(Table1[[#This Row],[Order_Status]],"DELIVERED","COMPLETE","CANCELLED","STOPPED","PROCESSING")</f>
        <v>STOPPED</v>
      </c>
      <c r="AA17" t="str" cm="1">
        <f t="array" ref="AA17">_xlfn.SWITCH(TRUE,Table1[[#This Row],[Unit_Price]]&lt;500,"LOW",Table1[[#This Row],[Unit_Price]]&lt;1000,"MEDIUM",Table1[[#This Row],[Unit_Price]]&lt;5000,"HIGH","PREMIUM")</f>
        <v>HIGH</v>
      </c>
    </row>
    <row r="18" spans="1:27" x14ac:dyDescent="0.25">
      <c r="A18" t="s">
        <v>75</v>
      </c>
      <c r="B18">
        <v>46041</v>
      </c>
      <c r="C18" t="s">
        <v>76</v>
      </c>
      <c r="D18" t="s">
        <v>59</v>
      </c>
      <c r="E18" t="s">
        <v>23</v>
      </c>
      <c r="F18" t="s">
        <v>77</v>
      </c>
      <c r="G18" t="s">
        <v>17</v>
      </c>
      <c r="H18">
        <v>3</v>
      </c>
      <c r="I18">
        <v>18000</v>
      </c>
      <c r="J18">
        <v>0.15</v>
      </c>
      <c r="K18" t="s">
        <v>18</v>
      </c>
      <c r="L18" t="s">
        <v>19</v>
      </c>
      <c r="N18" t="b">
        <f>NOT(Table1[[#This Row],[Category]]="ELECTRONICS")</f>
        <v>0</v>
      </c>
      <c r="O18" t="b">
        <f>AND(Table1[[#This Row],[Unit_Price]]&gt;=1000)</f>
        <v>1</v>
      </c>
      <c r="Q18" t="b">
        <f>OR(Table1[[#This Row],[Unit_Price]]&gt;=10000)</f>
        <v>1</v>
      </c>
      <c r="S18">
        <f>IF(Table1[[#This Row],[Returned]]="YES",1,0)</f>
        <v>0</v>
      </c>
      <c r="U18" t="str">
        <f>IF(Table1[[#This Row],[Unit_Price]]&lt;500,"LOW",IF(Table1[[#This Row],[Unit_Price]]&lt;1000,"MEDIAN",IF(Table1[[#This Row],[Unit_Price]]&lt;5000,"HIGH","PREMIUM")))</f>
        <v>PREMIUM</v>
      </c>
      <c r="W18" t="str" cm="1">
        <f t="array" ref="W18">_xlfn.IFS(Table1[[#This Row],[Unit_Price]]&lt;500,"LOW",Table1[[#This Row],[Unit_Price]]&lt;1000,"MEDIUM",U20&lt;5000,"HIGH",TRUE,"PREMIUM")</f>
        <v>PREMIUM</v>
      </c>
      <c r="Y18" t="str" cm="1">
        <f t="array" ref="Y18">_xlfn.SWITCH(TRUE,Table1[[#This Row],[Unit_Price]]&lt;500,"LOW",Table1[[#This Row],[Unit_Price]]&lt;1000,"MEDIUM",Table1[[#This Row],[Unit_Price]]&lt;5000,"HIGER","PREMIMUM")</f>
        <v>PREMIMUM</v>
      </c>
      <c r="Z18" t="str" cm="1">
        <f t="array" ref="Z18">_xlfn.SWITCH(Table1[[#This Row],[Order_Status]],"DELIVERED","COMPLETE","CANCELLED","STOPPED","PROCESSING")</f>
        <v>COMPLETE</v>
      </c>
      <c r="AA18" t="str" cm="1">
        <f t="array" ref="AA18">_xlfn.SWITCH(TRUE,Table1[[#This Row],[Unit_Price]]&lt;500,"LOW",Table1[[#This Row],[Unit_Price]]&lt;1000,"MEDIUM",Table1[[#This Row],[Unit_Price]]&lt;5000,"HIGH","PREMIUM")</f>
        <v>PREMIUM</v>
      </c>
    </row>
    <row r="19" spans="1:27" x14ac:dyDescent="0.25">
      <c r="A19" t="s">
        <v>78</v>
      </c>
      <c r="B19">
        <v>46150</v>
      </c>
      <c r="C19" t="s">
        <v>79</v>
      </c>
      <c r="D19" t="s">
        <v>39</v>
      </c>
      <c r="E19" t="s">
        <v>23</v>
      </c>
      <c r="F19" t="s">
        <v>44</v>
      </c>
      <c r="G19" t="s">
        <v>36</v>
      </c>
      <c r="H19">
        <v>2</v>
      </c>
      <c r="I19">
        <v>800</v>
      </c>
      <c r="J19">
        <v>0.1</v>
      </c>
      <c r="K19" t="s">
        <v>11</v>
      </c>
      <c r="L19" t="s">
        <v>32</v>
      </c>
      <c r="N19" t="b">
        <f>NOT(Table1[[#This Row],[Category]]="ELECTRONICS")</f>
        <v>1</v>
      </c>
      <c r="O19" t="b">
        <f>AND(Table1[[#This Row],[Unit_Price]]&gt;=1000)</f>
        <v>0</v>
      </c>
      <c r="Q19" t="b">
        <f>OR(Table1[[#This Row],[Unit_Price]]&gt;=10000)</f>
        <v>0</v>
      </c>
      <c r="S19">
        <f>IF(Table1[[#This Row],[Returned]]="YES",1,0)</f>
        <v>1</v>
      </c>
      <c r="U19" t="str">
        <f>IF(Table1[[#This Row],[Unit_Price]]&lt;500,"LOW",IF(Table1[[#This Row],[Unit_Price]]&lt;1000,"MEDIAN",IF(Table1[[#This Row],[Unit_Price]]&lt;5000,"HIGH","PREMIUM")))</f>
        <v>MEDIAN</v>
      </c>
      <c r="W19" t="str" cm="1">
        <f t="array" ref="W19">_xlfn.IFS(Table1[[#This Row],[Unit_Price]]&lt;500,"LOW",Table1[[#This Row],[Unit_Price]]&lt;1000,"MEDIUM",U21&lt;5000,"HIGH",TRUE,"PREMIUM")</f>
        <v>MEDIUM</v>
      </c>
      <c r="Y19" t="str" cm="1">
        <f t="array" ref="Y19">_xlfn.SWITCH(TRUE,Table1[[#This Row],[Unit_Price]]&lt;500,"LOW",Table1[[#This Row],[Unit_Price]]&lt;1000,"MEDIUM",Table1[[#This Row],[Unit_Price]]&lt;5000,"HIGER","PREMIMUM")</f>
        <v>MEDIUM</v>
      </c>
      <c r="Z19" t="str" cm="1">
        <f t="array" ref="Z19">_xlfn.SWITCH(Table1[[#This Row],[Order_Status]],"DELIVERED","COMPLETE","CANCELLED","STOPPED","PROCESSING")</f>
        <v>PROCESSING</v>
      </c>
      <c r="AA19" t="str" cm="1">
        <f t="array" ref="AA19">_xlfn.SWITCH(TRUE,Table1[[#This Row],[Unit_Price]]&lt;500,"LOW",Table1[[#This Row],[Unit_Price]]&lt;1000,"MEDIUM",Table1[[#This Row],[Unit_Price]]&lt;5000,"HIGH","PREMIUM")</f>
        <v>MEDIUM</v>
      </c>
    </row>
    <row r="20" spans="1:27" x14ac:dyDescent="0.25">
      <c r="A20" t="s">
        <v>80</v>
      </c>
      <c r="B20">
        <v>46205</v>
      </c>
      <c r="C20" t="s">
        <v>81</v>
      </c>
      <c r="D20" t="s">
        <v>39</v>
      </c>
      <c r="E20" t="s">
        <v>23</v>
      </c>
      <c r="F20" t="s">
        <v>16</v>
      </c>
      <c r="G20" t="s">
        <v>17</v>
      </c>
      <c r="H20">
        <v>5</v>
      </c>
      <c r="I20">
        <v>3500</v>
      </c>
      <c r="J20">
        <v>0.05</v>
      </c>
      <c r="K20" t="s">
        <v>25</v>
      </c>
      <c r="L20" t="s">
        <v>19</v>
      </c>
      <c r="N20" t="b">
        <f>NOT(Table1[[#This Row],[Category]]="ELECTRONICS")</f>
        <v>0</v>
      </c>
      <c r="O20" t="b">
        <f>AND(Table1[[#This Row],[Unit_Price]]&gt;=1000)</f>
        <v>1</v>
      </c>
      <c r="Q20" t="b">
        <f>OR(Table1[[#This Row],[Unit_Price]]&gt;=10000)</f>
        <v>0</v>
      </c>
      <c r="S20">
        <f>IF(Table1[[#This Row],[Returned]]="YES",1,0)</f>
        <v>0</v>
      </c>
      <c r="U20" t="str">
        <f>IF(Table1[[#This Row],[Unit_Price]]&lt;500,"LOW",IF(Table1[[#This Row],[Unit_Price]]&lt;1000,"MEDIAN",IF(Table1[[#This Row],[Unit_Price]]&lt;5000,"HIGH","PREMIUM")))</f>
        <v>HIGH</v>
      </c>
      <c r="W20" t="str" cm="1">
        <f t="array" ref="W20">_xlfn.IFS(Table1[[#This Row],[Unit_Price]]&lt;500,"LOW",Table1[[#This Row],[Unit_Price]]&lt;1000,"MEDIUM",U22&lt;5000,"HIGH",TRUE,"PREMIUM")</f>
        <v>HIGH</v>
      </c>
      <c r="Y20" t="str" cm="1">
        <f t="array" ref="Y20">_xlfn.SWITCH(TRUE,Table1[[#This Row],[Unit_Price]]&lt;500,"LOW",Table1[[#This Row],[Unit_Price]]&lt;1000,"MEDIUM",Table1[[#This Row],[Unit_Price]]&lt;5000,"HIGER","PREMIMUM")</f>
        <v>HIGER</v>
      </c>
      <c r="Z20" t="str" cm="1">
        <f t="array" ref="Z20">_xlfn.SWITCH(Table1[[#This Row],[Order_Status]],"DELIVERED","COMPLETE","CANCELLED","STOPPED","PROCESSING")</f>
        <v>PROCESSING</v>
      </c>
      <c r="AA20" t="str" cm="1">
        <f t="array" ref="AA20">_xlfn.SWITCH(TRUE,Table1[[#This Row],[Unit_Price]]&lt;500,"LOW",Table1[[#This Row],[Unit_Price]]&lt;1000,"MEDIUM",Table1[[#This Row],[Unit_Price]]&lt;5000,"HIGH","PREMIUM")</f>
        <v>HIGH</v>
      </c>
    </row>
    <row r="21" spans="1:27" x14ac:dyDescent="0.25">
      <c r="A21" t="s">
        <v>82</v>
      </c>
      <c r="B21">
        <v>46174</v>
      </c>
      <c r="C21" t="s">
        <v>83</v>
      </c>
      <c r="D21" t="s">
        <v>62</v>
      </c>
      <c r="E21" t="s">
        <v>15</v>
      </c>
      <c r="F21" t="s">
        <v>16</v>
      </c>
      <c r="G21" t="s">
        <v>17</v>
      </c>
      <c r="H21">
        <v>3</v>
      </c>
      <c r="I21">
        <v>3500</v>
      </c>
      <c r="J21">
        <v>0.1</v>
      </c>
      <c r="K21" t="s">
        <v>40</v>
      </c>
      <c r="L21" t="s">
        <v>19</v>
      </c>
      <c r="N21" t="b">
        <f>NOT(Table1[[#This Row],[Category]]="ELECTRONICS")</f>
        <v>0</v>
      </c>
      <c r="O21" t="b">
        <f>AND(Table1[[#This Row],[Unit_Price]]&gt;=1000)</f>
        <v>1</v>
      </c>
      <c r="Q21" t="b">
        <f>OR(Table1[[#This Row],[Unit_Price]]&gt;=10000)</f>
        <v>0</v>
      </c>
      <c r="S21">
        <f>IF(Table1[[#This Row],[Returned]]="YES",1,0)</f>
        <v>0</v>
      </c>
      <c r="U21" t="str">
        <f>IF(Table1[[#This Row],[Unit_Price]]&lt;500,"LOW",IF(Table1[[#This Row],[Unit_Price]]&lt;1000,"MEDIAN",IF(Table1[[#This Row],[Unit_Price]]&lt;5000,"HIGH","PREMIUM")))</f>
        <v>HIGH</v>
      </c>
      <c r="W21" t="str" cm="1">
        <f t="array" ref="W21">_xlfn.IFS(Table1[[#This Row],[Unit_Price]]&lt;500,"LOW",Table1[[#This Row],[Unit_Price]]&lt;1000,"MEDIUM",U23&lt;5000,"HIGH",TRUE,"PREMIUM")</f>
        <v>HIGH</v>
      </c>
      <c r="Y21" t="str" cm="1">
        <f t="array" ref="Y21">_xlfn.SWITCH(TRUE,Table1[[#This Row],[Unit_Price]]&lt;500,"LOW",Table1[[#This Row],[Unit_Price]]&lt;1000,"MEDIUM",Table1[[#This Row],[Unit_Price]]&lt;5000,"HIGER","PREMIMUM")</f>
        <v>HIGER</v>
      </c>
      <c r="Z21" t="str" cm="1">
        <f t="array" ref="Z21">_xlfn.SWITCH(Table1[[#This Row],[Order_Status]],"DELIVERED","COMPLETE","CANCELLED","STOPPED","PROCESSING")</f>
        <v>PROCESSING</v>
      </c>
      <c r="AA21" t="str" cm="1">
        <f t="array" ref="AA21">_xlfn.SWITCH(TRUE,Table1[[#This Row],[Unit_Price]]&lt;500,"LOW",Table1[[#This Row],[Unit_Price]]&lt;1000,"MEDIUM",Table1[[#This Row],[Unit_Price]]&lt;5000,"HIGH","PREMIUM")</f>
        <v>HIGH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ASDC10</dc:creator>
  <cp:lastModifiedBy>ASDC10</cp:lastModifiedBy>
  <dcterms:created xsi:type="dcterms:W3CDTF">2026-09-27T04:39:17Z</dcterms:created>
  <dcterms:modified xsi:type="dcterms:W3CDTF">2026-09-27T05:59:32Z</dcterms:modified>
</cp:coreProperties>
</file>